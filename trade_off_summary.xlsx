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gi\Desktop\EX-jobb\Figure\APP\02\"/>
    </mc:Choice>
  </mc:AlternateContent>
  <xr:revisionPtr revIDLastSave="0" documentId="13_ncr:1_{E42BE3B6-9BCA-4A2D-AFC1-D1775C969692}" xr6:coauthVersionLast="47" xr6:coauthVersionMax="47" xr10:uidLastSave="{00000000-0000-0000-0000-000000000000}"/>
  <bookViews>
    <workbookView xWindow="28692" yWindow="-108" windowWidth="29016" windowHeight="15696" xr2:uid="{281AEC21-D14E-4EE9-8148-ACB0BC3E554E}"/>
  </bookViews>
  <sheets>
    <sheet name="TradeOff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/>
  <c r="H8" i="1"/>
  <c r="I8" i="1"/>
  <c r="J8" i="1"/>
  <c r="E8" i="1"/>
</calcChain>
</file>

<file path=xl/sharedStrings.xml><?xml version="1.0" encoding="utf-8"?>
<sst xmlns="http://schemas.openxmlformats.org/spreadsheetml/2006/main" count="36" uniqueCount="29">
  <si>
    <t>Indicator</t>
  </si>
  <si>
    <t xml:space="preserve">Heating demand </t>
  </si>
  <si>
    <t>[kWh/m²]</t>
  </si>
  <si>
    <t>Total energy</t>
  </si>
  <si>
    <t>[°C]</t>
  </si>
  <si>
    <t xml:space="preserve">Embodied GWP </t>
  </si>
  <si>
    <t xml:space="preserve">Operational GWP </t>
  </si>
  <si>
    <t>[years]</t>
  </si>
  <si>
    <t xml:space="preserve">Circularity score </t>
  </si>
  <si>
    <t>Heating reduction</t>
  </si>
  <si>
    <t>Total energy reduction</t>
  </si>
  <si>
    <t>Mean winter indoor temperature (Oct–Mar)</t>
  </si>
  <si>
    <t>Mean summer indoor temperature (Apr–Sep)</t>
  </si>
  <si>
    <t>[kgCO₂e/m², 50 years]</t>
  </si>
  <si>
    <t>Carbon payback time</t>
  </si>
  <si>
    <t>Unit</t>
  </si>
  <si>
    <t>HRB-BC</t>
  </si>
  <si>
    <t>HRB-S01</t>
  </si>
  <si>
    <t>HRB-S02</t>
  </si>
  <si>
    <t>HRB-S03</t>
  </si>
  <si>
    <t>LRB-BC</t>
  </si>
  <si>
    <t>LRB-S01</t>
  </si>
  <si>
    <t>LRB-S02</t>
  </si>
  <si>
    <t>LRB-S03</t>
  </si>
  <si>
    <t>[%]</t>
  </si>
  <si>
    <t>Mean Overheating [% of Apr–Sep hours]</t>
  </si>
  <si>
    <t>Mean Overheating [h &gt;26°C]</t>
  </si>
  <si>
    <t>[h]</t>
  </si>
  <si>
    <t>Total 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</si>
</sst>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81AD-8241-488E-9941-CCA3DF388593}">
  <dimension ref="A1:N24"/>
  <sheetViews>
    <sheetView tabSelected="1" zoomScale="96" zoomScaleNormal="96" workbookViewId="0">
      <selection activeCell="E22" sqref="E22"/>
    </sheetView>
  </sheetViews>
  <sheetFormatPr defaultRowHeight="14.4" x14ac:dyDescent="0.3"/>
  <cols>
    <col min="1" max="1" width="46.33203125" bestFit="1" customWidth="1"/>
    <col min="2" max="2" width="24" customWidth="1"/>
    <col min="3" max="3" width="12.5546875" bestFit="1" customWidth="1"/>
    <col min="4" max="4" width="12.77734375" bestFit="1" customWidth="1"/>
    <col min="5" max="6" width="13.6640625" bestFit="1" customWidth="1"/>
    <col min="7" max="7" width="12.5546875" bestFit="1" customWidth="1"/>
    <col min="8" max="8" width="12.77734375" bestFit="1" customWidth="1"/>
    <col min="9" max="10" width="13.6640625" bestFit="1" customWidth="1"/>
  </cols>
  <sheetData>
    <row r="1" spans="1:10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3">
      <c r="A2" s="1" t="s">
        <v>1</v>
      </c>
      <c r="B2" s="1" t="s">
        <v>2</v>
      </c>
      <c r="C2" s="2">
        <v>98.294050270867146</v>
      </c>
      <c r="D2" s="2">
        <v>87.572734662750975</v>
      </c>
      <c r="E2" s="2">
        <v>45.955536420205</v>
      </c>
      <c r="F2" s="2">
        <v>20.177027955659977</v>
      </c>
      <c r="G2" s="2">
        <v>98.627144503735337</v>
      </c>
      <c r="H2" s="2">
        <v>85.430992187833525</v>
      </c>
      <c r="I2" s="2">
        <v>45.5</v>
      </c>
      <c r="J2" s="2">
        <v>22.75857144076841</v>
      </c>
    </row>
    <row r="3" spans="1:10" x14ac:dyDescent="0.3">
      <c r="A3" s="1" t="s">
        <v>9</v>
      </c>
      <c r="B3" s="1" t="s">
        <v>24</v>
      </c>
      <c r="C3" s="6">
        <v>0</v>
      </c>
      <c r="D3" s="6">
        <v>10.9</v>
      </c>
      <c r="E3" s="6">
        <v>53.2</v>
      </c>
      <c r="F3" s="6">
        <v>79.5</v>
      </c>
      <c r="G3" s="6">
        <v>0</v>
      </c>
      <c r="H3" s="6">
        <v>13.4</v>
      </c>
      <c r="I3" s="6">
        <v>53.9</v>
      </c>
      <c r="J3" s="6">
        <v>76.900000000000006</v>
      </c>
    </row>
    <row r="4" spans="1:10" x14ac:dyDescent="0.3">
      <c r="A4" s="1" t="s">
        <v>3</v>
      </c>
      <c r="B4" s="1" t="s">
        <v>2</v>
      </c>
      <c r="C4" s="2">
        <v>136.10341008633063</v>
      </c>
      <c r="D4" s="2">
        <v>125.38209447821446</v>
      </c>
      <c r="E4" s="2">
        <v>77.005888235668522</v>
      </c>
      <c r="F4" s="2">
        <v>50.071059771123451</v>
      </c>
      <c r="G4" s="2">
        <v>134.90398450373533</v>
      </c>
      <c r="H4" s="2">
        <v>121.70783218783353</v>
      </c>
      <c r="I4" s="2">
        <v>74.947766488794031</v>
      </c>
      <c r="J4" s="2">
        <v>51.276011440768407</v>
      </c>
    </row>
    <row r="5" spans="1:10" x14ac:dyDescent="0.3">
      <c r="A5" s="1" t="s">
        <v>10</v>
      </c>
      <c r="B5" s="1" t="s">
        <v>24</v>
      </c>
      <c r="C5" s="6">
        <v>0</v>
      </c>
      <c r="D5" s="6">
        <v>7.9</v>
      </c>
      <c r="E5" s="6">
        <v>43.4</v>
      </c>
      <c r="F5" s="6">
        <v>63.2</v>
      </c>
      <c r="G5" s="6">
        <v>0</v>
      </c>
      <c r="H5" s="6">
        <v>9.8000000000000007</v>
      </c>
      <c r="I5" s="6">
        <v>44.4</v>
      </c>
      <c r="J5" s="6">
        <v>62</v>
      </c>
    </row>
    <row r="6" spans="1:10" x14ac:dyDescent="0.3">
      <c r="A6" s="1" t="s">
        <v>5</v>
      </c>
      <c r="B6" s="1" t="s">
        <v>13</v>
      </c>
      <c r="C6" s="2">
        <v>0</v>
      </c>
      <c r="D6" s="2">
        <v>2.3886919388727037</v>
      </c>
      <c r="E6" s="2">
        <v>30.2</v>
      </c>
      <c r="F6" s="2">
        <v>46.2</v>
      </c>
      <c r="G6" s="2">
        <v>0</v>
      </c>
      <c r="H6" s="2">
        <v>4.9881216648879398</v>
      </c>
      <c r="I6" s="2">
        <v>35.799999999999997</v>
      </c>
      <c r="J6" s="2">
        <v>50.8</v>
      </c>
    </row>
    <row r="7" spans="1:10" x14ac:dyDescent="0.3">
      <c r="A7" s="1" t="s">
        <v>6</v>
      </c>
      <c r="B7" s="1" t="s">
        <v>13</v>
      </c>
      <c r="C7" s="2">
        <v>113.3</v>
      </c>
      <c r="D7" s="2">
        <v>105.5</v>
      </c>
      <c r="E7" s="2">
        <v>68.400000000000006</v>
      </c>
      <c r="F7" s="2">
        <v>47.5</v>
      </c>
      <c r="G7" s="2">
        <v>110.7</v>
      </c>
      <c r="H7" s="2">
        <v>101.1</v>
      </c>
      <c r="I7" s="2">
        <v>65.099999999999994</v>
      </c>
      <c r="J7" s="2">
        <v>46.8</v>
      </c>
    </row>
    <row r="8" spans="1:10" x14ac:dyDescent="0.3">
      <c r="A8" s="5" t="s">
        <v>28</v>
      </c>
      <c r="B8" s="1" t="s">
        <v>13</v>
      </c>
      <c r="C8" s="2">
        <v>113.3</v>
      </c>
      <c r="D8" s="2">
        <v>107.9</v>
      </c>
      <c r="E8" s="2">
        <f>E6+E7</f>
        <v>98.600000000000009</v>
      </c>
      <c r="F8" s="2">
        <f t="shared" ref="F8:J8" si="0">F6+F7</f>
        <v>93.7</v>
      </c>
      <c r="G8" s="2">
        <f t="shared" si="0"/>
        <v>110.7</v>
      </c>
      <c r="H8" s="2">
        <f t="shared" si="0"/>
        <v>106.08812166488794</v>
      </c>
      <c r="I8" s="2">
        <f t="shared" si="0"/>
        <v>100.89999999999999</v>
      </c>
      <c r="J8" s="2">
        <f t="shared" si="0"/>
        <v>97.6</v>
      </c>
    </row>
    <row r="9" spans="1:10" x14ac:dyDescent="0.3">
      <c r="A9" s="1" t="s">
        <v>14</v>
      </c>
      <c r="B9" s="1" t="s">
        <v>7</v>
      </c>
      <c r="C9" s="2">
        <v>0</v>
      </c>
      <c r="D9" s="2">
        <v>15.365406738885742</v>
      </c>
      <c r="E9" s="2">
        <v>19.032816823881049</v>
      </c>
      <c r="F9" s="2">
        <v>25.146717632543165</v>
      </c>
      <c r="G9" s="2">
        <v>0</v>
      </c>
      <c r="H9" s="2">
        <v>26.068840556454159</v>
      </c>
      <c r="I9" s="2">
        <v>23.584403924532538</v>
      </c>
      <c r="J9" s="2">
        <v>28.595467056566321</v>
      </c>
    </row>
    <row r="10" spans="1:10" x14ac:dyDescent="0.3">
      <c r="A10" s="1" t="s">
        <v>8</v>
      </c>
      <c r="B10" s="1" t="s">
        <v>24</v>
      </c>
      <c r="C10" s="6">
        <v>0</v>
      </c>
      <c r="D10" s="6">
        <v>37</v>
      </c>
      <c r="E10" s="6">
        <v>54</v>
      </c>
      <c r="F10" s="6">
        <v>29</v>
      </c>
      <c r="G10" s="6">
        <v>0</v>
      </c>
      <c r="H10" s="6">
        <v>37</v>
      </c>
      <c r="I10" s="6">
        <v>56</v>
      </c>
      <c r="J10" s="6">
        <v>29</v>
      </c>
    </row>
    <row r="11" spans="1:10" x14ac:dyDescent="0.3">
      <c r="A11" s="1" t="s">
        <v>26</v>
      </c>
      <c r="B11" s="1" t="s">
        <v>27</v>
      </c>
      <c r="C11" s="2">
        <v>466.31918828571401</v>
      </c>
      <c r="D11" s="2">
        <v>540.03137914285696</v>
      </c>
      <c r="E11" s="2">
        <v>420.8345382857143</v>
      </c>
      <c r="F11" s="2">
        <v>1206.9783822857141</v>
      </c>
      <c r="G11" s="2">
        <v>121.55518799999999</v>
      </c>
      <c r="H11" s="2">
        <v>137.062364</v>
      </c>
      <c r="I11" s="2">
        <v>323.09138000000002</v>
      </c>
      <c r="J11" s="2">
        <v>307.30677599999996</v>
      </c>
    </row>
    <row r="12" spans="1:10" x14ac:dyDescent="0.3">
      <c r="A12" s="1" t="s">
        <v>25</v>
      </c>
      <c r="B12" s="1" t="s">
        <v>24</v>
      </c>
      <c r="C12" s="6">
        <v>10.6</v>
      </c>
      <c r="D12" s="6">
        <v>12.3</v>
      </c>
      <c r="E12" s="6">
        <v>9.6</v>
      </c>
      <c r="F12" s="6">
        <v>27.5</v>
      </c>
      <c r="G12" s="6">
        <v>2.8</v>
      </c>
      <c r="H12" s="6">
        <v>3.1</v>
      </c>
      <c r="I12" s="6">
        <v>7.4</v>
      </c>
      <c r="J12" s="6">
        <v>7</v>
      </c>
    </row>
    <row r="13" spans="1:10" x14ac:dyDescent="0.3">
      <c r="A13" s="1" t="s">
        <v>11</v>
      </c>
      <c r="B13" s="1" t="s">
        <v>4</v>
      </c>
      <c r="C13" s="2">
        <v>21.3</v>
      </c>
      <c r="D13" s="2">
        <v>21.4</v>
      </c>
      <c r="E13" s="2">
        <v>21.5</v>
      </c>
      <c r="F13" s="2">
        <v>21.6</v>
      </c>
      <c r="G13" s="2">
        <v>21</v>
      </c>
      <c r="H13" s="2">
        <v>21.1</v>
      </c>
      <c r="I13" s="2">
        <v>21.6</v>
      </c>
      <c r="J13" s="2">
        <v>21.7</v>
      </c>
    </row>
    <row r="14" spans="1:10" x14ac:dyDescent="0.3">
      <c r="A14" s="1" t="s">
        <v>12</v>
      </c>
      <c r="B14" s="1" t="s">
        <v>4</v>
      </c>
      <c r="C14" s="2">
        <v>23.2</v>
      </c>
      <c r="D14" s="2">
        <v>23.4</v>
      </c>
      <c r="E14" s="2">
        <v>23.3</v>
      </c>
      <c r="F14" s="2">
        <v>24.4</v>
      </c>
      <c r="G14" s="2">
        <v>22.5</v>
      </c>
      <c r="H14" s="2">
        <v>22.6</v>
      </c>
      <c r="I14" s="2">
        <v>22.8</v>
      </c>
      <c r="J14" s="2">
        <v>23.3</v>
      </c>
    </row>
    <row r="19" spans="7:14" x14ac:dyDescent="0.3">
      <c r="L19" s="4"/>
      <c r="M19" s="4"/>
      <c r="N19" s="4"/>
    </row>
    <row r="21" spans="7:14" x14ac:dyDescent="0.3">
      <c r="G21" s="3"/>
    </row>
    <row r="22" spans="7:14" x14ac:dyDescent="0.3">
      <c r="G22" s="3"/>
    </row>
    <row r="24" spans="7:14" x14ac:dyDescent="0.3">
      <c r="G2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630682CF145A4491FAAB4E1E9E9903" ma:contentTypeVersion="6" ma:contentTypeDescription="Skapa ett nytt dokument." ma:contentTypeScope="" ma:versionID="339a0e9a7e4dae656eb67369b34251d3">
  <xsd:schema xmlns:xsd="http://www.w3.org/2001/XMLSchema" xmlns:xs="http://www.w3.org/2001/XMLSchema" xmlns:p="http://schemas.microsoft.com/office/2006/metadata/properties" xmlns:ns3="c090981f-a12e-4e77-a447-42969d830c48" targetNamespace="http://schemas.microsoft.com/office/2006/metadata/properties" ma:root="true" ma:fieldsID="6a4f20a9927797b991bd448fcf88e90c" ns3:_="">
    <xsd:import namespace="c090981f-a12e-4e77-a447-42969d830c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0981f-a12e-4e77-a447-42969d830c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90981f-a12e-4e77-a447-42969d830c48" xsi:nil="true"/>
  </documentManagement>
</p:properties>
</file>

<file path=customXml/itemProps1.xml><?xml version="1.0" encoding="utf-8"?>
<ds:datastoreItem xmlns:ds="http://schemas.openxmlformats.org/officeDocument/2006/customXml" ds:itemID="{E7D99F1C-BA52-4F22-97FF-FC26741440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EEC16-EE3F-46C1-A4B7-DBAF06985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0981f-a12e-4e77-a447-42969d830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1A3BFE-9E5F-4F1B-A435-A7C3C6DA332F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c090981f-a12e-4e77-a447-42969d830c48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TradeOff_Summary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Alabrash</dc:creator>
  <cp:lastModifiedBy>Ahmad Alabrash</cp:lastModifiedBy>
  <dcterms:created xsi:type="dcterms:W3CDTF">2026-04-08T18:55:23Z</dcterms:created>
  <dcterms:modified xsi:type="dcterms:W3CDTF">2026-04-10T07:42:53Z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0x01010072630682CF145A4491FAAB4E1E9E9903</vt:lpwstr>
  </property>
</Properties>
</file>